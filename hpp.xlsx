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<sst xmlns="http://schemas.openxmlformats.org/spreadsheetml/2006/main" count="76" uniqueCount="51">
  <si>
    <t>Perhitungan HPP Nasi Goreng "GoGo"</t>
  </si>
  <si>
    <t xml:space="preserve">Modal : </t>
  </si>
  <si>
    <t>Biaya Bahan Baku</t>
  </si>
  <si>
    <t>Nasi 1 kg</t>
  </si>
  <si>
    <t>Telur 2 biji</t>
  </si>
  <si>
    <t>Minyak 250 ml</t>
  </si>
  <si>
    <t>Bawang merah &amp; Bawang putih</t>
  </si>
  <si>
    <t>Kecap 1 pcs</t>
  </si>
  <si>
    <t>Bakso 1 plastik</t>
  </si>
  <si>
    <t>Garam 1 plastik</t>
  </si>
  <si>
    <t>Masako 2 sachet</t>
  </si>
  <si>
    <t>Lada 2 sachet</t>
  </si>
  <si>
    <t>Selada 1 ikat</t>
  </si>
  <si>
    <t>Timun 1 pcs</t>
  </si>
  <si>
    <t>Tomat 1 pcs</t>
  </si>
  <si>
    <t>Daun Bawang 1/2 ikat</t>
  </si>
  <si>
    <t>TOTAL</t>
  </si>
  <si>
    <t>:  4  =</t>
  </si>
  <si>
    <t>Biaya Variabel</t>
  </si>
  <si>
    <t>Gas</t>
  </si>
  <si>
    <t>45 Prs</t>
  </si>
  <si>
    <t>(1 Prs)</t>
  </si>
  <si>
    <t>Listrik</t>
  </si>
  <si>
    <t>45Prs</t>
  </si>
  <si>
    <t>Air</t>
  </si>
  <si>
    <t>Sabun cuci</t>
  </si>
  <si>
    <t>100 Prs</t>
  </si>
  <si>
    <t>Plastik</t>
  </si>
  <si>
    <t>Kertas minyak</t>
  </si>
  <si>
    <t>1000 Prs</t>
  </si>
  <si>
    <t>Sendok bebek</t>
  </si>
  <si>
    <t xml:space="preserve">PEMBULATAN </t>
  </si>
  <si>
    <t>Biaya Tetap</t>
  </si>
  <si>
    <t>Piring</t>
  </si>
  <si>
    <t>(1 tahun)</t>
  </si>
  <si>
    <t>Kompor</t>
  </si>
  <si>
    <t>(5 tahun)</t>
  </si>
  <si>
    <t>Wajan</t>
  </si>
  <si>
    <t>Spatula</t>
  </si>
  <si>
    <t>Sendok Stainless Steel</t>
  </si>
  <si>
    <t>Meja</t>
  </si>
  <si>
    <t>Kursi</t>
  </si>
  <si>
    <t>Biaya Per Bulan</t>
  </si>
  <si>
    <t xml:space="preserve">: </t>
  </si>
  <si>
    <t>=</t>
  </si>
  <si>
    <t>Perhitungan Harga Pokok Produksi Nasi Goreng</t>
  </si>
  <si>
    <t>Harga Jual Nasi Goreng</t>
  </si>
  <si>
    <t>*</t>
  </si>
  <si>
    <t>Laba Rugi</t>
  </si>
  <si>
    <t>Harga Jual - HPP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</si>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</sst>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421]* #,##0.00_-;\-[$Rp-421]* #,##0.00_-;_-[$Rp-421]* &quot;-&quot;??_-;_-@"/>
  </numFmts>
  <fonts count="6">
    <font>
      <sz val="11.0"/>
      <color/>
      <name val="Arial"/>
      <scheme val="minor"/>
    </font>
    <font>
      <b/>
      <sz val="11.0"/>
      <color/>
      <name val="Aptos Narrow"/>
    </font>
    <font/>
    <font>
      <sz val="11.0"/>
      <color/>
      <name val="Aptos Narrow"/>
    </font>
    <font>
      <u/>
      <sz val="11.0"/>
      <color/>
      <name val="Aptos Narrow"/>
    </font>
    <font>
      <u/>
      <sz val="11.0"/>
      <color/>
      <name val="Aptos Narrow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</border>
    <border>
      <left style="thin">
        <color rgb="FF505050"/>
      </left>
      <right style="thin">
        <color rgb="FF505050"/>
      </right>
    </border>
    <border>
      <left style="thin">
        <color rgb="FF505050"/>
      </left>
    </border>
    <border>
      <left style="thin">
        <color rgb="FF505050"/>
      </left>
      <top style="thin">
        <color rgb="FF505050"/>
      </top>
    </border>
    <border>
      <top style="thin">
        <color rgb="FF505050"/>
      </top>
    </border>
    <border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/>
    </xf>
    <xf borderId="4" fillId="0" fontId="3" numFmtId="164" xfId="0" applyBorder="1" applyFont="1" applyNumberFormat="1"/>
    <xf borderId="1" fillId="0" fontId="3" numFmtId="0" xfId="0" applyAlignment="1" applyBorder="1" applyFont="1">
      <alignment horizontal="center"/>
    </xf>
    <xf borderId="4" fillId="0" fontId="4" numFmtId="164" xfId="0" applyBorder="1" applyFont="1" applyNumberFormat="1"/>
    <xf borderId="0" fillId="0" fontId="3" numFmtId="0" xfId="0" applyAlignment="1" applyFont="1">
      <alignment horizontal="center"/>
    </xf>
    <xf borderId="4" fillId="0" fontId="3" numFmtId="0" xfId="0" applyBorder="1" applyFont="1"/>
    <xf borderId="0" fillId="0" fontId="1" numFmtId="0" xfId="0" applyAlignment="1" applyFont="1">
      <alignment horizontal="center"/>
    </xf>
    <xf borderId="0" fillId="0" fontId="3" numFmtId="164" xfId="0" applyFont="1" applyNumberFormat="1"/>
    <xf borderId="0" fillId="0" fontId="3" numFmtId="0" xfId="0" applyFon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0" fontId="3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8" fillId="0" fontId="3" numFmtId="0" xfId="0" applyBorder="1" applyFont="1"/>
    <xf borderId="9" fillId="0" fontId="3" numFmtId="164" xfId="0" applyBorder="1" applyFont="1" applyNumberFormat="1"/>
    <xf borderId="9" fillId="0" fontId="3" numFmtId="164" xfId="0" applyAlignment="1" applyBorder="1" applyFont="1" applyNumberFormat="1">
      <alignment horizontal="center"/>
    </xf>
    <xf borderId="9" fillId="0" fontId="3" numFmtId="9" xfId="0" applyBorder="1" applyFont="1" applyNumberFormat="1"/>
    <xf borderId="10" fillId="0" fontId="3" numFmtId="164" xfId="0" applyBorder="1" applyFont="1" applyNumberFormat="1"/>
    <xf borderId="11" fillId="0" fontId="3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1" fillId="0" fontId="5" numFmtId="164" xfId="0" applyBorder="1" applyFont="1" applyNumberFormat="1"/>
    <xf borderId="8" fillId="0" fontId="3" numFmtId="0" xfId="0" applyAlignment="1" applyBorder="1" applyFont="1">
      <alignment horizontal="center"/>
    </xf>
    <xf borderId="14" fillId="0" fontId="3" numFmtId="164" xfId="0" applyBorder="1" applyFont="1" applyNumberFormat="1"/>
    <xf borderId="14" fillId="0" fontId="3" numFmtId="0" xfId="0" applyAlignment="1" applyBorder="1" applyFont="1">
      <alignment horizontal="center"/>
    </xf>
    <xf borderId="14" fillId="0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71"/>
    <col customWidth="1" min="3" max="3" width="12.86"/>
    <col customWidth="1" min="4" max="4" width="14.57"/>
    <col customWidth="1" min="5" max="6" width="13.57"/>
    <col customWidth="1" min="7" max="7" width="13.29"/>
    <col customWidth="1" min="8" max="11" width="8.71"/>
  </cols>
  <sheetData>
    <row r="1">
      <c r="A1" s="1" t="s">
        <v>0</v>
      </c>
      <c r="H1" s="2"/>
      <c r="I1" s="2"/>
      <c r="J1" s="2"/>
    </row>
    <row r="2">
      <c r="H2" s="2"/>
      <c r="I2" s="2"/>
      <c r="J2" s="2"/>
    </row>
    <row r="3">
      <c r="H3" s="2"/>
      <c r="I3" s="2"/>
      <c r="J3" s="2"/>
    </row>
    <row r="4">
      <c r="A4" s="3" t="s">
        <v>1</v>
      </c>
      <c r="H4" s="3"/>
      <c r="I4" s="3"/>
      <c r="J4" s="3"/>
    </row>
    <row r="5">
      <c r="A5" s="4" t="s">
        <v>2</v>
      </c>
      <c r="B5" s="5"/>
      <c r="C5" s="5"/>
      <c r="D5" s="5"/>
      <c r="E5" s="5"/>
      <c r="F5" s="6"/>
      <c r="G5" s="3"/>
    </row>
    <row r="6">
      <c r="A6" s="7" t="s">
        <v>3</v>
      </c>
      <c r="B6" s="5"/>
      <c r="C6" s="6"/>
      <c r="D6" s="8">
        <v>15000.0</v>
      </c>
      <c r="E6" s="9"/>
      <c r="F6" s="6"/>
    </row>
    <row r="7">
      <c r="A7" s="7" t="s">
        <v>4</v>
      </c>
      <c r="B7" s="5"/>
      <c r="C7" s="6"/>
      <c r="D7" s="8">
        <v>4000.0</v>
      </c>
      <c r="E7" s="9"/>
      <c r="F7" s="6"/>
    </row>
    <row r="8">
      <c r="A8" s="7" t="s">
        <v>5</v>
      </c>
      <c r="B8" s="5"/>
      <c r="C8" s="6"/>
      <c r="D8" s="8">
        <v>5000.0</v>
      </c>
      <c r="E8" s="9"/>
      <c r="F8" s="6"/>
    </row>
    <row r="9">
      <c r="A9" s="7" t="s">
        <v>6</v>
      </c>
      <c r="B9" s="5"/>
      <c r="C9" s="6"/>
      <c r="D9" s="8">
        <v>5000.0</v>
      </c>
      <c r="E9" s="9"/>
      <c r="F9" s="6"/>
    </row>
    <row r="10">
      <c r="A10" s="7" t="s">
        <v>7</v>
      </c>
      <c r="B10" s="5"/>
      <c r="C10" s="6"/>
      <c r="D10" s="8">
        <v>5000.0</v>
      </c>
      <c r="E10" s="9"/>
      <c r="F10" s="6"/>
    </row>
    <row r="11">
      <c r="A11" s="7" t="s">
        <v>8</v>
      </c>
      <c r="B11" s="5"/>
      <c r="C11" s="6"/>
      <c r="D11" s="8">
        <v>6000.0</v>
      </c>
      <c r="E11" s="9"/>
      <c r="F11" s="6"/>
    </row>
    <row r="12">
      <c r="A12" s="7" t="s">
        <v>9</v>
      </c>
      <c r="B12" s="5"/>
      <c r="C12" s="6"/>
      <c r="D12" s="8">
        <v>2000.0</v>
      </c>
      <c r="E12" s="9"/>
      <c r="F12" s="6"/>
    </row>
    <row r="13">
      <c r="A13" s="7" t="s">
        <v>10</v>
      </c>
      <c r="B13" s="5"/>
      <c r="C13" s="6"/>
      <c r="D13" s="8">
        <v>2000.0</v>
      </c>
      <c r="E13" s="9"/>
      <c r="F13" s="6"/>
    </row>
    <row r="14">
      <c r="A14" s="7" t="s">
        <v>11</v>
      </c>
      <c r="B14" s="5"/>
      <c r="C14" s="6"/>
      <c r="D14" s="8">
        <v>5000.0</v>
      </c>
      <c r="E14" s="9"/>
      <c r="F14" s="6"/>
    </row>
    <row r="15">
      <c r="A15" s="7" t="s">
        <v>12</v>
      </c>
      <c r="B15" s="5"/>
      <c r="C15" s="6"/>
      <c r="D15" s="8">
        <v>5000.0</v>
      </c>
      <c r="E15" s="9"/>
      <c r="F15" s="6"/>
    </row>
    <row r="16">
      <c r="A16" s="7" t="s">
        <v>13</v>
      </c>
      <c r="B16" s="5"/>
      <c r="C16" s="6"/>
      <c r="D16" s="8">
        <v>3000.0</v>
      </c>
      <c r="E16" s="9"/>
      <c r="F16" s="6"/>
    </row>
    <row r="17">
      <c r="A17" s="7" t="s">
        <v>14</v>
      </c>
      <c r="B17" s="5"/>
      <c r="C17" s="6"/>
      <c r="D17" s="8">
        <v>2000.0</v>
      </c>
      <c r="E17" s="9"/>
      <c r="F17" s="6"/>
    </row>
    <row r="18">
      <c r="A18" s="7" t="s">
        <v>15</v>
      </c>
      <c r="B18" s="5"/>
      <c r="C18" s="6"/>
      <c r="D18" s="10">
        <v>3000.0</v>
      </c>
      <c r="E18" s="9"/>
      <c r="F18" s="6"/>
      <c r="H18" s="11"/>
      <c r="I18" s="11"/>
      <c r="J18" s="11"/>
    </row>
    <row r="19">
      <c r="A19" s="4" t="s">
        <v>16</v>
      </c>
      <c r="B19" s="5"/>
      <c r="C19" s="6"/>
      <c r="D19" s="8" t="str">
        <f>SUM(D6:D18)</f>
        <v> Rp 62,000.00 </v>
      </c>
      <c r="E19" s="12" t="s">
        <v>17</v>
      </c>
      <c r="F19" s="8" t="str">
        <f>D19/4</f>
        <v> Rp 15,500.00 </v>
      </c>
      <c r="G19" s="11"/>
    </row>
    <row r="20">
      <c r="A20" s="13"/>
      <c r="B20" s="11"/>
      <c r="C20" s="11"/>
      <c r="D20" s="14"/>
      <c r="E20" s="15"/>
      <c r="F20" s="14"/>
      <c r="G20" s="11"/>
    </row>
    <row r="21" ht="15.75" customHeight="1"/>
    <row r="22" ht="15.75" customHeight="1">
      <c r="A22" s="4" t="s">
        <v>18</v>
      </c>
      <c r="B22" s="5"/>
      <c r="C22" s="5"/>
      <c r="D22" s="5"/>
      <c r="E22" s="5"/>
      <c r="F22" s="5"/>
      <c r="G22" s="6"/>
    </row>
    <row r="23" ht="15.75" customHeight="1">
      <c r="A23" s="7" t="s">
        <v>19</v>
      </c>
      <c r="B23" s="5"/>
      <c r="C23" s="6"/>
      <c r="D23" s="8">
        <v>18000.0</v>
      </c>
      <c r="E23" s="12" t="s">
        <v>20</v>
      </c>
      <c r="F23" s="16" t="s">
        <v>21</v>
      </c>
      <c r="G23" s="8">
        <v>400.0</v>
      </c>
    </row>
    <row r="24" ht="15.75" customHeight="1">
      <c r="A24" s="7" t="s">
        <v>22</v>
      </c>
      <c r="B24" s="5"/>
      <c r="C24" s="6"/>
      <c r="D24" s="8">
        <v>20000.0</v>
      </c>
      <c r="E24" s="12" t="s">
        <v>23</v>
      </c>
      <c r="F24" s="16" t="s">
        <v>21</v>
      </c>
      <c r="G24" s="8">
        <v>445.0</v>
      </c>
    </row>
    <row r="25" ht="15.75" customHeight="1">
      <c r="A25" s="7" t="s">
        <v>24</v>
      </c>
      <c r="B25" s="5"/>
      <c r="C25" s="6"/>
      <c r="D25" s="8">
        <v>15000.0</v>
      </c>
      <c r="E25" s="12" t="s">
        <v>20</v>
      </c>
      <c r="F25" s="16" t="s">
        <v>21</v>
      </c>
      <c r="G25" s="8">
        <v>335.0</v>
      </c>
    </row>
    <row r="26" ht="15.75" customHeight="1">
      <c r="A26" s="7" t="s">
        <v>25</v>
      </c>
      <c r="B26" s="5"/>
      <c r="C26" s="6"/>
      <c r="D26" s="8">
        <v>2000.0</v>
      </c>
      <c r="E26" s="12" t="s">
        <v>26</v>
      </c>
      <c r="F26" s="16" t="s">
        <v>21</v>
      </c>
      <c r="G26" s="8">
        <v>20.0</v>
      </c>
    </row>
    <row r="27" ht="15.75" customHeight="1">
      <c r="A27" s="7" t="s">
        <v>27</v>
      </c>
      <c r="B27" s="5"/>
      <c r="C27" s="6"/>
      <c r="D27" s="8">
        <v>3000.0</v>
      </c>
      <c r="E27" s="12" t="s">
        <v>26</v>
      </c>
      <c r="F27" s="16" t="s">
        <v>21</v>
      </c>
      <c r="G27" s="8">
        <v>30.0</v>
      </c>
    </row>
    <row r="28" ht="15.75" customHeight="1">
      <c r="A28" s="7" t="s">
        <v>28</v>
      </c>
      <c r="B28" s="5"/>
      <c r="C28" s="6"/>
      <c r="D28" s="8">
        <v>27000.0</v>
      </c>
      <c r="E28" s="12" t="s">
        <v>29</v>
      </c>
      <c r="F28" s="16" t="s">
        <v>21</v>
      </c>
      <c r="G28" s="8">
        <v>27.0</v>
      </c>
    </row>
    <row r="29" ht="15.75" customHeight="1">
      <c r="A29" s="7" t="s">
        <v>30</v>
      </c>
      <c r="B29" s="5"/>
      <c r="C29" s="6"/>
      <c r="D29" s="10">
        <v>15000.0</v>
      </c>
      <c r="E29" s="12" t="s">
        <v>26</v>
      </c>
      <c r="F29" s="16" t="s">
        <v>21</v>
      </c>
      <c r="G29" s="10">
        <v>150.0</v>
      </c>
    </row>
    <row r="30" ht="15.75" customHeight="1">
      <c r="A30" s="4" t="s">
        <v>16</v>
      </c>
      <c r="B30" s="5"/>
      <c r="C30" s="6"/>
      <c r="D30" s="8" t="str">
        <f>SUM(D23:D29)</f>
        <v> Rp 100,000.00 </v>
      </c>
      <c r="E30" s="12"/>
      <c r="F30" s="12"/>
      <c r="G30" s="8">
        <v>1407.0</v>
      </c>
    </row>
    <row r="31" ht="15.75" customHeight="1">
      <c r="A31" s="4" t="s">
        <v>31</v>
      </c>
      <c r="B31" s="5"/>
      <c r="C31" s="5"/>
      <c r="D31" s="5"/>
      <c r="E31" s="5"/>
      <c r="F31" s="6"/>
      <c r="G31" s="8">
        <v>1500.0</v>
      </c>
    </row>
    <row r="32" ht="15.75" customHeight="1">
      <c r="A32" s="13"/>
      <c r="B32" s="13"/>
      <c r="C32" s="13"/>
      <c r="D32" s="13"/>
      <c r="E32" s="13"/>
      <c r="F32" s="13"/>
      <c r="G32" s="14"/>
    </row>
    <row r="33" ht="15.75" customHeight="1">
      <c r="A33" s="13"/>
      <c r="B33" s="13"/>
      <c r="C33" s="13"/>
      <c r="D33" s="13"/>
      <c r="E33" s="13"/>
      <c r="F33" s="13"/>
      <c r="G33" s="14"/>
    </row>
    <row r="34" ht="15.75" customHeight="1">
      <c r="A34" s="4" t="s">
        <v>32</v>
      </c>
      <c r="B34" s="5"/>
      <c r="C34" s="5"/>
      <c r="D34" s="5"/>
      <c r="E34" s="5"/>
      <c r="F34" s="6"/>
    </row>
    <row r="35" ht="15.75" customHeight="1">
      <c r="A35" s="7" t="s">
        <v>33</v>
      </c>
      <c r="B35" s="5"/>
      <c r="C35" s="6"/>
      <c r="D35" s="8">
        <v>20000.0</v>
      </c>
      <c r="E35" s="12" t="s">
        <v>34</v>
      </c>
      <c r="F35" s="8">
        <v>1670.0</v>
      </c>
    </row>
    <row r="36" ht="15.75" customHeight="1">
      <c r="A36" s="7" t="s">
        <v>35</v>
      </c>
      <c r="B36" s="5"/>
      <c r="C36" s="6"/>
      <c r="D36" s="8">
        <v>120000.0</v>
      </c>
      <c r="E36" s="12" t="s">
        <v>36</v>
      </c>
      <c r="F36" s="8">
        <v>2000.0</v>
      </c>
    </row>
    <row r="37" ht="15.75" customHeight="1">
      <c r="A37" s="7" t="s">
        <v>37</v>
      </c>
      <c r="B37" s="5"/>
      <c r="C37" s="6"/>
      <c r="D37" s="8">
        <v>50000.0</v>
      </c>
      <c r="E37" s="12" t="s">
        <v>34</v>
      </c>
      <c r="F37" s="8">
        <v>4200.0</v>
      </c>
    </row>
    <row r="38" ht="15.75" customHeight="1">
      <c r="A38" s="7" t="s">
        <v>38</v>
      </c>
      <c r="B38" s="5"/>
      <c r="C38" s="6"/>
      <c r="D38" s="8">
        <v>10000.0</v>
      </c>
      <c r="E38" s="12" t="s">
        <v>34</v>
      </c>
      <c r="F38" s="8">
        <v>835.0</v>
      </c>
    </row>
    <row r="39" ht="15.75" customHeight="1">
      <c r="A39" s="7" t="s">
        <v>39</v>
      </c>
      <c r="B39" s="5"/>
      <c r="C39" s="6"/>
      <c r="D39" s="8">
        <v>10000.0</v>
      </c>
      <c r="E39" s="12" t="s">
        <v>34</v>
      </c>
      <c r="F39" s="8">
        <v>835.0</v>
      </c>
    </row>
    <row r="40" ht="15.75" customHeight="1">
      <c r="A40" s="7" t="s">
        <v>40</v>
      </c>
      <c r="B40" s="5"/>
      <c r="C40" s="6"/>
      <c r="D40" s="8">
        <v>200000.0</v>
      </c>
      <c r="E40" s="12" t="s">
        <v>36</v>
      </c>
      <c r="F40" s="8">
        <v>3335.0</v>
      </c>
    </row>
    <row r="41" ht="15.75" customHeight="1">
      <c r="A41" s="7" t="s">
        <v>41</v>
      </c>
      <c r="B41" s="5"/>
      <c r="C41" s="6"/>
      <c r="D41" s="8">
        <v>50000.0</v>
      </c>
      <c r="E41" s="12" t="s">
        <v>34</v>
      </c>
      <c r="F41" s="8">
        <v>1045.0</v>
      </c>
    </row>
    <row r="42" ht="15.75" customHeight="1">
      <c r="A42" s="4" t="s">
        <v>16</v>
      </c>
      <c r="B42" s="5"/>
      <c r="C42" s="6"/>
      <c r="D42" s="8" t="str">
        <f>SUM(D35:D41)</f>
        <v> Rp 460,000.00 </v>
      </c>
      <c r="E42" s="17" t="s">
        <v>16</v>
      </c>
      <c r="F42" s="8" t="str">
        <f>SUM(F35:F41)</f>
        <v> Rp 13,920.00 </v>
      </c>
    </row>
    <row r="43" ht="15.75" customHeight="1">
      <c r="A43" s="13"/>
      <c r="B43" s="13"/>
      <c r="C43" s="13"/>
      <c r="D43" s="14"/>
      <c r="E43" s="3"/>
      <c r="F43" s="14"/>
    </row>
    <row r="44" ht="15.75" customHeight="1">
      <c r="A44" s="13"/>
      <c r="B44" s="13"/>
      <c r="C44" s="13"/>
      <c r="D44" s="14"/>
      <c r="E44" s="3"/>
      <c r="F44" s="14"/>
    </row>
    <row r="45" ht="15.75" customHeight="1">
      <c r="A45" s="4" t="s">
        <v>42</v>
      </c>
      <c r="B45" s="5"/>
      <c r="C45" s="5"/>
      <c r="D45" s="5"/>
      <c r="E45" s="6"/>
    </row>
    <row r="46" ht="15.75" customHeight="1">
      <c r="A46" s="18">
        <v>13920.0</v>
      </c>
      <c r="B46" s="16" t="s">
        <v>43</v>
      </c>
      <c r="C46" s="16">
        <v>12.0</v>
      </c>
      <c r="D46" s="16" t="s">
        <v>44</v>
      </c>
      <c r="E46" s="18" t="str">
        <f>A46/C46</f>
        <v> Rp 1,160.00 </v>
      </c>
    </row>
    <row r="47" ht="15.75" customHeight="1">
      <c r="A47" s="19"/>
      <c r="B47" s="11"/>
      <c r="C47" s="11"/>
      <c r="D47" s="11"/>
      <c r="E47" s="19"/>
    </row>
    <row r="48" ht="15.75" customHeight="1"/>
    <row r="49" ht="15.75" customHeight="1">
      <c r="A49" s="20" t="s">
        <v>45</v>
      </c>
      <c r="B49" s="21"/>
      <c r="C49" s="21"/>
      <c r="D49" s="22"/>
    </row>
    <row r="50" ht="15.75" customHeight="1">
      <c r="A50" s="23" t="s">
        <v>2</v>
      </c>
      <c r="B50" s="22"/>
      <c r="C50" s="24" t="str">
        <f>F19</f>
        <v> Rp 15,500.00 </v>
      </c>
      <c r="D50" s="22"/>
    </row>
    <row r="51" ht="15.75" customHeight="1">
      <c r="A51" s="23" t="s">
        <v>18</v>
      </c>
      <c r="B51" s="22"/>
      <c r="C51" s="24" t="str">
        <f>G31</f>
        <v> Rp 1,500.00 </v>
      </c>
      <c r="D51" s="22"/>
    </row>
    <row r="52" ht="15.75" customHeight="1">
      <c r="A52" s="23" t="s">
        <v>32</v>
      </c>
      <c r="B52" s="22"/>
      <c r="C52" s="24" t="str">
        <f>E46</f>
        <v> Rp 1,160.00 </v>
      </c>
      <c r="D52" s="22"/>
    </row>
    <row r="53" ht="15.75" customHeight="1">
      <c r="A53" s="20" t="s">
        <v>16</v>
      </c>
      <c r="B53" s="22"/>
      <c r="C53" s="24" t="str">
        <f> C50+C51+C52</f>
        <v> Rp 18,160.00 </v>
      </c>
      <c r="D53" s="22"/>
    </row>
    <row r="54" ht="15.75" customHeight="1">
      <c r="A54" s="13"/>
      <c r="B54" s="13"/>
      <c r="C54" s="19"/>
      <c r="D54" s="11"/>
    </row>
    <row r="55" ht="15.75" customHeight="1"/>
    <row r="56" ht="15.75" customHeight="1">
      <c r="A56" s="20" t="s">
        <v>46</v>
      </c>
      <c r="B56" s="21"/>
      <c r="C56" s="21"/>
      <c r="D56" s="21"/>
      <c r="E56" s="21"/>
      <c r="F56" s="25"/>
    </row>
    <row r="57" ht="15.75" customHeight="1">
      <c r="A57" s="26" t="str">
        <f>C53</f>
        <v> Rp 18,160.00 </v>
      </c>
      <c r="B57" s="27" t="s">
        <v>47</v>
      </c>
      <c r="C57" s="28">
        <v>0.1</v>
      </c>
      <c r="D57" s="26" t="s">
        <v>44</v>
      </c>
      <c r="E57" s="29" t="str">
        <f>A57*C57</f>
        <v> Rp 1,816.00 </v>
      </c>
      <c r="F57" s="25"/>
    </row>
    <row r="58" ht="15.75" customHeight="1">
      <c r="A58" s="30"/>
      <c r="B58" s="31"/>
      <c r="C58" s="31"/>
      <c r="D58" s="32"/>
      <c r="E58" s="33" t="str">
        <f>C53</f>
        <v> Rp 18,160.00 </v>
      </c>
      <c r="F58" s="34"/>
    </row>
    <row r="59" ht="15.75" customHeight="1">
      <c r="A59" s="4" t="s">
        <v>16</v>
      </c>
      <c r="B59" s="5"/>
      <c r="C59" s="5"/>
      <c r="D59" s="6"/>
      <c r="E59" s="8" t="str">
        <f>E57+E58</f>
        <v> Rp 19,976.00 </v>
      </c>
      <c r="F59" s="11"/>
      <c r="G59" s="14"/>
    </row>
    <row r="60" ht="15.75" customHeight="1">
      <c r="A60" s="4" t="s">
        <v>31</v>
      </c>
      <c r="B60" s="5"/>
      <c r="C60" s="5"/>
      <c r="D60" s="6"/>
      <c r="E60" s="8">
        <v>20000.0</v>
      </c>
      <c r="F60" s="11"/>
      <c r="G60" s="14"/>
    </row>
    <row r="61" ht="15.75" customHeight="1">
      <c r="A61" s="13"/>
      <c r="B61" s="11"/>
      <c r="C61" s="11"/>
      <c r="D61" s="11"/>
      <c r="E61" s="14"/>
      <c r="F61" s="11"/>
      <c r="G61" s="14"/>
    </row>
    <row r="62" ht="15.75" customHeight="1"/>
    <row r="63" ht="15.75" customHeight="1">
      <c r="A63" s="20" t="s">
        <v>48</v>
      </c>
      <c r="B63" s="21"/>
      <c r="C63" s="22"/>
    </row>
    <row r="64" ht="15.75" customHeight="1">
      <c r="A64" s="24" t="s">
        <v>49</v>
      </c>
      <c r="B64" s="21"/>
      <c r="C64" s="22"/>
    </row>
    <row r="65" ht="15.75" customHeight="1">
      <c r="A65" s="35" t="str">
        <f>E60</f>
        <v> Rp 20,000.00 </v>
      </c>
      <c r="B65" s="36" t="s">
        <v>50</v>
      </c>
      <c r="C65" s="35" t="str">
        <f>C53</f>
        <v> Rp 18,160.00 </v>
      </c>
    </row>
    <row r="66" ht="15.75" customHeight="1">
      <c r="A66" s="37" t="s">
        <v>16</v>
      </c>
      <c r="B66" s="24" t="str">
        <f>A65-C65</f>
        <v> Rp 1,840.00 </v>
      </c>
      <c r="C66" s="2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6">
    <mergeCell ref="C50:D50"/>
    <mergeCell ref="A49:D49"/>
    <mergeCell ref="A50:B50"/>
    <mergeCell ref="B66:C66"/>
    <mergeCell ref="A60:D60"/>
    <mergeCell ref="A40:C40"/>
    <mergeCell ref="A41:C41"/>
    <mergeCell ref="C51:D51"/>
    <mergeCell ref="C52:D52"/>
    <mergeCell ref="C53:D53"/>
    <mergeCell ref="A53:B53"/>
    <mergeCell ref="A42:C42"/>
    <mergeCell ref="A6:C6"/>
    <mergeCell ref="A5:F5"/>
    <mergeCell ref="A1:G2"/>
    <mergeCell ref="E6:F6"/>
    <mergeCell ref="E7:F7"/>
    <mergeCell ref="E11:F11"/>
    <mergeCell ref="E12:F12"/>
    <mergeCell ref="E13:F13"/>
    <mergeCell ref="E8:F8"/>
    <mergeCell ref="E9:F9"/>
    <mergeCell ref="E10:F10"/>
    <mergeCell ref="A7:C7"/>
    <mergeCell ref="A12:C12"/>
    <mergeCell ref="A11:C11"/>
    <mergeCell ref="A9:C9"/>
    <mergeCell ref="A10:C10"/>
    <mergeCell ref="A8:C8"/>
    <mergeCell ref="A13:C13"/>
    <mergeCell ref="A25:C25"/>
    <mergeCell ref="A24:C24"/>
    <mergeCell ref="A26:C26"/>
    <mergeCell ref="A22:G22"/>
    <mergeCell ref="A23:C23"/>
    <mergeCell ref="A63:C63"/>
    <mergeCell ref="A64:C64"/>
    <mergeCell ref="F58:G58"/>
    <mergeCell ref="A56:E56"/>
    <mergeCell ref="A59:D59"/>
    <mergeCell ref="A58:D58"/>
    <mergeCell ref="A35:C35"/>
    <mergeCell ref="A34:F34"/>
    <mergeCell ref="A31:F31"/>
    <mergeCell ref="A36:C36"/>
    <mergeCell ref="A37:C37"/>
    <mergeCell ref="A38:C38"/>
    <mergeCell ref="A28:C28"/>
    <mergeCell ref="A29:C29"/>
    <mergeCell ref="A27:C27"/>
    <mergeCell ref="A30:C30"/>
    <mergeCell ref="A39:C39"/>
    <mergeCell ref="A51:B51"/>
    <mergeCell ref="A52:B52"/>
    <mergeCell ref="A45:E45"/>
    <mergeCell ref="E17:F17"/>
    <mergeCell ref="E18:F18"/>
    <mergeCell ref="E14:F14"/>
    <mergeCell ref="E15:F15"/>
    <mergeCell ref="A15:C15"/>
    <mergeCell ref="A14:C14"/>
    <mergeCell ref="A19:C19"/>
    <mergeCell ref="E16:F16"/>
    <mergeCell ref="A18:C18"/>
    <mergeCell ref="A17:C17"/>
    <mergeCell ref="A16:C16"/>
  </mergeCells>
  <printOptions/>
  <pageMargins bottom="0.75" footer="0.0" header="0.0" left="0.25" right="0.25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2025-11-10T10:01:41Z</dcterms:created>
  <dc:creator>greysiiee19@gmail.com</dc:creator>
  <cp:lastModifiedBy>Kurniawan Agus</cp:lastModifiedBy>
  <cp:lastPrinted>2025-11-10T04:49:56Z</cp:lastPrinted>
  <dcterms:modified xsi:type="dcterms:W3CDTF">2025-11-10T05:05:40Z</dcterms:modified>
</cp:coreProperties>
</file>